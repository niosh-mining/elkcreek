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45" windowWidth="27315" windowHeight="132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15" i="1" l="1"/>
  <c r="H14" i="1"/>
  <c r="H13" i="1"/>
  <c r="H12" i="1"/>
  <c r="H11" i="1"/>
  <c r="H9" i="1"/>
  <c r="H8" i="1"/>
  <c r="H7" i="1"/>
  <c r="H6" i="1"/>
  <c r="D15" i="1" l="1"/>
  <c r="D14" i="1"/>
  <c r="D13" i="1"/>
  <c r="D12" i="1"/>
  <c r="D11" i="1"/>
  <c r="D9" i="1"/>
  <c r="D8" i="1"/>
  <c r="D7" i="1"/>
  <c r="D6" i="1"/>
</calcChain>
</file>

<file path=xl/sharedStrings.xml><?xml version="1.0" encoding="utf-8"?>
<sst xmlns="http://schemas.openxmlformats.org/spreadsheetml/2006/main" count="21" uniqueCount="14">
  <si>
    <t>Anomalous zone average ground condition ratings</t>
  </si>
  <si>
    <t>Serial date</t>
  </si>
  <si>
    <t>Date</t>
  </si>
  <si>
    <t>Time</t>
  </si>
  <si>
    <t>Hours since zero time (hr)</t>
  </si>
  <si>
    <t>14-18</t>
  </si>
  <si>
    <t>24-28</t>
  </si>
  <si>
    <t>Longwall face position in gate road coordinates (ft)</t>
  </si>
  <si>
    <t>Anomalous zone crosscut range</t>
  </si>
  <si>
    <t>Gate road coordinate of midpoint of crosscut range</t>
  </si>
  <si>
    <t>Distance from midpoint to longwall face (ft)</t>
  </si>
  <si>
    <t>Rib Rating</t>
  </si>
  <si>
    <t>Roof Rating</t>
  </si>
  <si>
    <t>Floor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</si>
</sst>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h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/>
  </sheetViews>
  <sheetFormatPr defaultRowHeight="15" x14ac:dyDescent="0.25"/>
  <cols>
    <col min="1" max="1" width="9.7109375" bestFit="1" customWidth="1"/>
    <col min="5" max="6" width="11.28515625" customWidth="1"/>
    <col min="7" max="7" width="10.5703125" customWidth="1"/>
  </cols>
  <sheetData>
    <row r="1" spans="1:11" x14ac:dyDescent="0.25">
      <c r="A1" s="6" t="s">
        <v>0</v>
      </c>
    </row>
    <row r="5" spans="1:11" ht="90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 spans="1:11" x14ac:dyDescent="0.25">
      <c r="A6" s="2">
        <v>40069.416666666664</v>
      </c>
      <c r="B6" s="3">
        <v>40069.416666666664</v>
      </c>
      <c r="C6" s="4">
        <v>40069.416666666664</v>
      </c>
      <c r="D6" s="5">
        <f>(A6-40120)*24</f>
        <v>-1214.0000000000582</v>
      </c>
      <c r="E6" s="5">
        <v>6678</v>
      </c>
      <c r="F6" s="5" t="s">
        <v>5</v>
      </c>
      <c r="G6">
        <v>2810</v>
      </c>
      <c r="H6">
        <f>G6-E6</f>
        <v>-3868</v>
      </c>
      <c r="I6">
        <v>2</v>
      </c>
      <c r="J6">
        <v>0</v>
      </c>
      <c r="K6">
        <v>0</v>
      </c>
    </row>
    <row r="7" spans="1:11" x14ac:dyDescent="0.25">
      <c r="A7" s="2">
        <v>40147.416666666664</v>
      </c>
      <c r="B7" s="3">
        <v>40147.416666666664</v>
      </c>
      <c r="C7" s="4">
        <v>40147.416666666664</v>
      </c>
      <c r="D7" s="5">
        <f>(A7-40120)*24</f>
        <v>657.99999999994179</v>
      </c>
      <c r="E7" s="5">
        <v>5766.25</v>
      </c>
      <c r="F7" s="5" t="s">
        <v>5</v>
      </c>
      <c r="G7">
        <v>2810</v>
      </c>
      <c r="H7">
        <f>G7-E7</f>
        <v>-2956.25</v>
      </c>
      <c r="I7">
        <v>2</v>
      </c>
      <c r="J7">
        <v>0</v>
      </c>
      <c r="K7">
        <v>0</v>
      </c>
    </row>
    <row r="8" spans="1:11" x14ac:dyDescent="0.25">
      <c r="A8" s="2">
        <v>40175.416666666664</v>
      </c>
      <c r="B8" s="3">
        <v>40175.416666666664</v>
      </c>
      <c r="C8" s="4">
        <v>40175.416666666664</v>
      </c>
      <c r="D8" s="5">
        <f>(A8-40120)*24</f>
        <v>1329.9999999999418</v>
      </c>
      <c r="E8" s="5">
        <v>4848.25</v>
      </c>
      <c r="F8" s="5" t="s">
        <v>5</v>
      </c>
      <c r="G8">
        <v>2810</v>
      </c>
      <c r="H8">
        <f>G8-E8</f>
        <v>-2038.25</v>
      </c>
      <c r="I8">
        <v>2</v>
      </c>
      <c r="J8">
        <v>0</v>
      </c>
      <c r="K8">
        <v>0</v>
      </c>
    </row>
    <row r="9" spans="1:11" x14ac:dyDescent="0.25">
      <c r="A9" s="2">
        <v>40255.416666666664</v>
      </c>
      <c r="B9" s="3">
        <v>40255.416666666664</v>
      </c>
      <c r="C9" s="4">
        <v>40255.416666666664</v>
      </c>
      <c r="D9" s="5">
        <f>(A9-40120)*24</f>
        <v>3249.9999999999418</v>
      </c>
      <c r="E9" s="5">
        <v>2052.25</v>
      </c>
      <c r="F9" s="5" t="s">
        <v>5</v>
      </c>
      <c r="G9">
        <v>2810</v>
      </c>
      <c r="H9">
        <f>G9-E9</f>
        <v>757.75</v>
      </c>
      <c r="I9">
        <v>3</v>
      </c>
      <c r="J9">
        <v>0</v>
      </c>
      <c r="K9">
        <v>2</v>
      </c>
    </row>
    <row r="10" spans="1:11" x14ac:dyDescent="0.25">
      <c r="A10" s="5"/>
      <c r="B10" s="5"/>
      <c r="C10" s="5"/>
      <c r="D10" s="5"/>
      <c r="E10" s="5"/>
      <c r="F10" s="5"/>
    </row>
    <row r="11" spans="1:11" x14ac:dyDescent="0.25">
      <c r="A11" s="2">
        <v>40069.416666666664</v>
      </c>
      <c r="B11" s="3">
        <v>40069.416666666664</v>
      </c>
      <c r="C11" s="4">
        <v>40069.416666666664</v>
      </c>
      <c r="D11" s="5">
        <f>(A11-40120)*24</f>
        <v>-1214.0000000000582</v>
      </c>
      <c r="E11" s="5">
        <v>6678</v>
      </c>
      <c r="F11" s="5" t="s">
        <v>6</v>
      </c>
      <c r="G11">
        <v>4810</v>
      </c>
      <c r="H11">
        <f>G11-E11</f>
        <v>-1868</v>
      </c>
      <c r="I11">
        <v>1</v>
      </c>
      <c r="J11">
        <v>1</v>
      </c>
      <c r="K11">
        <v>0</v>
      </c>
    </row>
    <row r="12" spans="1:11" x14ac:dyDescent="0.25">
      <c r="A12" s="2">
        <v>40147.416666666664</v>
      </c>
      <c r="B12" s="3">
        <v>40147.416666666664</v>
      </c>
      <c r="C12" s="4">
        <v>40147.416666666664</v>
      </c>
      <c r="D12" s="5">
        <f>(A12-40120)*24</f>
        <v>657.99999999994179</v>
      </c>
      <c r="E12" s="5">
        <v>5766.25</v>
      </c>
      <c r="F12" s="5" t="s">
        <v>6</v>
      </c>
      <c r="G12">
        <v>4810</v>
      </c>
      <c r="H12">
        <f>G12-E12</f>
        <v>-956.25</v>
      </c>
      <c r="I12">
        <v>1</v>
      </c>
      <c r="J12">
        <v>1</v>
      </c>
      <c r="K12">
        <v>0</v>
      </c>
    </row>
    <row r="13" spans="1:11" x14ac:dyDescent="0.25">
      <c r="A13" s="2">
        <v>40175.416666666664</v>
      </c>
      <c r="B13" s="3">
        <v>40175.416666666664</v>
      </c>
      <c r="C13" s="4">
        <v>40175.416666666664</v>
      </c>
      <c r="D13" s="5">
        <f>(A13-40120)*24</f>
        <v>1329.9999999999418</v>
      </c>
      <c r="E13" s="5">
        <v>4848.25</v>
      </c>
      <c r="F13" s="5" t="s">
        <v>6</v>
      </c>
      <c r="G13">
        <v>4810</v>
      </c>
      <c r="H13">
        <f>G13-E13</f>
        <v>-38.25</v>
      </c>
      <c r="I13">
        <v>1</v>
      </c>
      <c r="J13">
        <v>1</v>
      </c>
      <c r="K13">
        <v>0</v>
      </c>
    </row>
    <row r="14" spans="1:11" x14ac:dyDescent="0.25">
      <c r="A14" s="2">
        <v>40239.416666666664</v>
      </c>
      <c r="B14" s="3">
        <v>40239.416666666664</v>
      </c>
      <c r="C14" s="4">
        <v>40239.416666666664</v>
      </c>
      <c r="D14" s="5">
        <f>(A14-40120)*24</f>
        <v>2865.9999999999418</v>
      </c>
      <c r="E14" s="5">
        <v>2790</v>
      </c>
      <c r="F14" s="5" t="s">
        <v>6</v>
      </c>
      <c r="G14">
        <v>4810</v>
      </c>
      <c r="H14">
        <f>G14-E14</f>
        <v>2020</v>
      </c>
      <c r="I14">
        <v>2.5</v>
      </c>
      <c r="J14">
        <v>3</v>
      </c>
      <c r="K14">
        <v>3</v>
      </c>
    </row>
    <row r="15" spans="1:11" x14ac:dyDescent="0.25">
      <c r="A15" s="2">
        <v>40287.416666666664</v>
      </c>
      <c r="B15" s="3">
        <v>40287.416666666664</v>
      </c>
      <c r="C15" s="4">
        <v>40287.416666666664</v>
      </c>
      <c r="D15" s="5">
        <f>(A15-40120)*24</f>
        <v>4017.9999999999418</v>
      </c>
      <c r="E15" s="5">
        <v>1129</v>
      </c>
      <c r="F15" s="5" t="s">
        <v>6</v>
      </c>
      <c r="G15">
        <v>4810</v>
      </c>
      <c r="H15">
        <f>G15-E15</f>
        <v>3681</v>
      </c>
      <c r="I15">
        <v>2.5</v>
      </c>
      <c r="J15">
        <v>3.5</v>
      </c>
      <c r="K1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CDC User</cp:lastModifiedBy>
  <dcterms:created xsi:type="dcterms:W3CDTF">2014-04-03T21:08:10Z</dcterms:created>
  <dcterms:modified xsi:type="dcterms:W3CDTF">2014-04-03T21:25:08Z</dcterms:modified>
</cp:coreProperties>
</file>