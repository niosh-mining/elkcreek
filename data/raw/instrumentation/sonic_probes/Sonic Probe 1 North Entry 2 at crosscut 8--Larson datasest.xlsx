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Z17" i="1" l="1"/>
  <c r="D17" i="1"/>
  <c r="Z16" i="1"/>
  <c r="D16" i="1"/>
  <c r="Z15" i="1"/>
  <c r="D15" i="1"/>
  <c r="Z14" i="1"/>
  <c r="D14" i="1"/>
  <c r="Z13" i="1"/>
  <c r="D13" i="1"/>
  <c r="Z12" i="1"/>
  <c r="D12" i="1"/>
  <c r="Z11" i="1"/>
  <c r="D11" i="1"/>
  <c r="Z10" i="1"/>
  <c r="D10" i="1"/>
  <c r="Z9" i="1"/>
  <c r="D9" i="1"/>
  <c r="Z8" i="1"/>
  <c r="D8" i="1"/>
  <c r="Z7" i="1"/>
  <c r="D7" i="1"/>
  <c r="Z6" i="1"/>
  <c r="D6" i="1"/>
</calcChain>
</file>

<file path=xl/sharedStrings.xml><?xml version="1.0" encoding="utf-8"?>
<sst xmlns="http://schemas.openxmlformats.org/spreadsheetml/2006/main" count="44" uniqueCount="25">
  <si>
    <t>Sonic probe, 1 North, Entry 2, Crosscut 8</t>
  </si>
  <si>
    <t>Note:  Collar anchor installed at approximate depth of 4.00 in.</t>
  </si>
  <si>
    <t>Serial date</t>
  </si>
  <si>
    <t>Date</t>
  </si>
  <si>
    <t>Time</t>
  </si>
  <si>
    <t>Time since zero time (hr)</t>
  </si>
  <si>
    <t>Panel 1 face position in gate road coordinates (ft)</t>
  </si>
  <si>
    <t>Distance from collar anchor to anchor 1 (in)</t>
  </si>
  <si>
    <t>Distance from collar anchor to anchor 2 (in)</t>
  </si>
  <si>
    <t>Distance from collar anchor to anchor 3 (in)</t>
  </si>
  <si>
    <t>Distance from collar anchor to anchor 4 (in)</t>
  </si>
  <si>
    <t>Distance from collar anchor to anchor 5 (in)</t>
  </si>
  <si>
    <t>Distance from collar anchor to anchor 6 (in)</t>
  </si>
  <si>
    <t>Distance from collar anchor to anchor 7 (in)</t>
  </si>
  <si>
    <t>Distance from collar anchor to anchor 8 (in)</t>
  </si>
  <si>
    <t>Distance from collar anchor to anchor 9 (in)</t>
  </si>
  <si>
    <t>Distance from collar anchor to anchor 10 (in)</t>
  </si>
  <si>
    <t>Distance from collar anchor to anchor 11 (in)</t>
  </si>
  <si>
    <t>Distance from collar anchor to anchor 12 (in)</t>
  </si>
  <si>
    <t>Distance from collar anchor to anchor 13 (in)</t>
  </si>
  <si>
    <t>Distance from collar anchor to anchor 14 (in)</t>
  </si>
  <si>
    <t>Distance from collar anchor to anchor 15 (in)</t>
  </si>
  <si>
    <t>Distance from collar anchor to anchor 16 (in)</t>
  </si>
  <si>
    <t>Displacement of collar anchor with respect to anchor 16 (in)</t>
  </si>
  <si>
    <t>Displacement of anchor 1 anchor with respect to anchor 16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</si>
</sst>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tabSelected="1" workbookViewId="0"/>
  </sheetViews>
  <sheetFormatPr defaultRowHeight="15" x14ac:dyDescent="0.25"/>
  <cols>
    <col min="2" max="2" width="9.140625" customWidth="1"/>
    <col min="5" max="5" width="11.28515625" customWidth="1"/>
    <col min="6" max="6" width="9.140625" customWidth="1"/>
    <col min="27" max="43" width="13.5703125" customWidth="1"/>
  </cols>
  <sheetData>
    <row r="1" spans="1:43" x14ac:dyDescent="0.25">
      <c r="A1" s="1" t="s">
        <v>0</v>
      </c>
    </row>
    <row r="3" spans="1:43" x14ac:dyDescent="0.25">
      <c r="A3" t="s">
        <v>1</v>
      </c>
    </row>
    <row r="5" spans="1:43" ht="90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/>
      <c r="W5" s="2" t="s">
        <v>2</v>
      </c>
      <c r="X5" s="2" t="s">
        <v>3</v>
      </c>
      <c r="Y5" s="2" t="s">
        <v>4</v>
      </c>
      <c r="Z5" s="2" t="s">
        <v>5</v>
      </c>
      <c r="AA5" s="2" t="s">
        <v>23</v>
      </c>
      <c r="AB5" s="2" t="s">
        <v>24</v>
      </c>
      <c r="AC5" s="2" t="s">
        <v>24</v>
      </c>
      <c r="AD5" s="2" t="s">
        <v>24</v>
      </c>
      <c r="AE5" s="2" t="s">
        <v>24</v>
      </c>
      <c r="AF5" s="2" t="s">
        <v>24</v>
      </c>
      <c r="AG5" s="2" t="s">
        <v>24</v>
      </c>
      <c r="AH5" s="2" t="s">
        <v>24</v>
      </c>
      <c r="AI5" s="2" t="s">
        <v>24</v>
      </c>
      <c r="AJ5" s="2" t="s">
        <v>24</v>
      </c>
      <c r="AK5" s="2" t="s">
        <v>24</v>
      </c>
      <c r="AL5" s="2" t="s">
        <v>24</v>
      </c>
      <c r="AM5" s="2" t="s">
        <v>24</v>
      </c>
      <c r="AN5" s="2" t="s">
        <v>24</v>
      </c>
      <c r="AO5" s="2" t="s">
        <v>24</v>
      </c>
      <c r="AP5" s="2" t="s">
        <v>24</v>
      </c>
      <c r="AQ5" s="2" t="s">
        <v>24</v>
      </c>
    </row>
    <row r="6" spans="1:43" x14ac:dyDescent="0.25">
      <c r="A6" s="3">
        <v>40233.359027777777</v>
      </c>
      <c r="B6" s="4">
        <v>40233.359027777777</v>
      </c>
      <c r="C6" s="5">
        <v>40233.359027777777</v>
      </c>
      <c r="D6" s="6">
        <f>(A6-40120)*24</f>
        <v>2720.6166666666395</v>
      </c>
      <c r="E6" s="6">
        <v>2851</v>
      </c>
      <c r="F6" s="7">
        <v>9.193061673599999</v>
      </c>
      <c r="G6" s="7">
        <v>20.471709936199996</v>
      </c>
      <c r="H6" s="7">
        <v>32.284905551100003</v>
      </c>
      <c r="I6" s="7">
        <v>44.497256599800004</v>
      </c>
      <c r="J6" s="7">
        <v>56.175060296200002</v>
      </c>
      <c r="K6" s="7">
        <v>68.541858422299995</v>
      </c>
      <c r="L6" s="7">
        <v>80.192583734999985</v>
      </c>
      <c r="M6" s="7">
        <v>92.06394772969999</v>
      </c>
      <c r="N6" s="7">
        <v>104.04763687159999</v>
      </c>
      <c r="O6" s="7">
        <v>116.9439678345</v>
      </c>
      <c r="P6" s="7">
        <v>134.08558761969996</v>
      </c>
      <c r="Q6" s="7">
        <v>151.92522796249997</v>
      </c>
      <c r="R6" s="7">
        <v>169.57632252249996</v>
      </c>
      <c r="S6" s="7">
        <v>186.79817455569997</v>
      </c>
      <c r="T6" s="7">
        <v>206.97457912149997</v>
      </c>
      <c r="U6" s="7">
        <v>225.77901224649997</v>
      </c>
      <c r="W6" s="3">
        <v>40233.359027777777</v>
      </c>
      <c r="X6" s="4">
        <v>40233.359027777777</v>
      </c>
      <c r="Y6" s="5">
        <v>40233.359027777777</v>
      </c>
      <c r="Z6" s="6">
        <f>(W6-40120)*24</f>
        <v>2720.6166666666395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</row>
    <row r="7" spans="1:43" x14ac:dyDescent="0.25">
      <c r="A7" s="3">
        <v>40247.381944444445</v>
      </c>
      <c r="B7" s="4">
        <v>40247.381944444445</v>
      </c>
      <c r="C7" s="5">
        <v>40247.381944444445</v>
      </c>
      <c r="D7" s="6">
        <f t="shared" ref="D7:D17" si="0">(A7-40120)*24</f>
        <v>3057.1666666666861</v>
      </c>
      <c r="E7" s="6">
        <v>2413.4583333332121</v>
      </c>
      <c r="F7" s="7">
        <v>9.1780181270999996</v>
      </c>
      <c r="G7" s="7">
        <v>20.479733160999995</v>
      </c>
      <c r="H7" s="7">
        <v>32.301954903800002</v>
      </c>
      <c r="I7" s="7">
        <v>44.518317564900002</v>
      </c>
      <c r="J7" s="7">
        <v>56.173054489999998</v>
      </c>
      <c r="K7" s="7">
        <v>68.543864228499999</v>
      </c>
      <c r="L7" s="7">
        <v>80.168091777499995</v>
      </c>
      <c r="M7" s="7">
        <v>92.065953535899993</v>
      </c>
      <c r="N7" s="7">
        <v>104.05395778209999</v>
      </c>
      <c r="O7" s="7">
        <v>116.950259714</v>
      </c>
      <c r="P7" s="7">
        <v>134.08358181349999</v>
      </c>
      <c r="Q7" s="7">
        <v>151.9155314544</v>
      </c>
      <c r="R7" s="7">
        <v>169.57431671629999</v>
      </c>
      <c r="S7" s="7">
        <v>186.78343450109998</v>
      </c>
      <c r="T7" s="7">
        <v>206.94488261339998</v>
      </c>
      <c r="U7" s="7">
        <v>225.73332735079995</v>
      </c>
      <c r="W7" s="3">
        <v>40247.381944444445</v>
      </c>
      <c r="X7" s="4">
        <v>40247.381944444445</v>
      </c>
      <c r="Y7" s="5">
        <v>40247.381944444445</v>
      </c>
      <c r="Z7" s="6">
        <f t="shared" ref="Z7:Z17" si="1">(W7-40120)*24</f>
        <v>3057.1666666666861</v>
      </c>
      <c r="AA7" s="6">
        <v>4.5684895700020434E-2</v>
      </c>
      <c r="AB7" s="6">
        <v>3.0641349200010382E-2</v>
      </c>
      <c r="AC7" s="6">
        <v>5.3708120500008505E-2</v>
      </c>
      <c r="AD7" s="6">
        <v>6.2734248399998194E-2</v>
      </c>
      <c r="AE7" s="6">
        <v>6.6745860800047296E-2</v>
      </c>
      <c r="AF7" s="6">
        <v>4.367908950004562E-2</v>
      </c>
      <c r="AG7" s="6">
        <v>4.769070190003788E-2</v>
      </c>
      <c r="AH7" s="6">
        <v>2.1192938200059075E-2</v>
      </c>
      <c r="AI7" s="6">
        <v>4.769070190003788E-2</v>
      </c>
      <c r="AJ7" s="6">
        <v>5.2005806200014604E-2</v>
      </c>
      <c r="AK7" s="6">
        <v>5.1976775200046177E-2</v>
      </c>
      <c r="AL7" s="6">
        <v>4.3679089500074042E-2</v>
      </c>
      <c r="AM7" s="6">
        <v>3.5988387600070837E-2</v>
      </c>
      <c r="AN7" s="6">
        <v>4.3679089500074042E-2</v>
      </c>
      <c r="AO7" s="6">
        <v>3.0944841100023268E-2</v>
      </c>
      <c r="AP7" s="6">
        <v>1.5988387600060605E-2</v>
      </c>
      <c r="AQ7" s="6">
        <v>0</v>
      </c>
    </row>
    <row r="8" spans="1:43" x14ac:dyDescent="0.25">
      <c r="A8" s="3">
        <v>40253.333333333336</v>
      </c>
      <c r="B8" s="4">
        <v>40253.333333333336</v>
      </c>
      <c r="C8" s="5">
        <v>40253.333333333336</v>
      </c>
      <c r="D8" s="6">
        <f t="shared" si="0"/>
        <v>3200.0000000000582</v>
      </c>
      <c r="E8" s="6">
        <v>2137.7499999996362</v>
      </c>
      <c r="F8" s="7">
        <v>9.1810268364000009</v>
      </c>
      <c r="G8" s="7">
        <v>20.461680905199998</v>
      </c>
      <c r="H8" s="7">
        <v>32.285908454199998</v>
      </c>
      <c r="I8" s="7">
        <v>44.494247890499999</v>
      </c>
      <c r="J8" s="7">
        <v>56.169042877599999</v>
      </c>
      <c r="K8" s="7">
        <v>68.540855519199994</v>
      </c>
      <c r="L8" s="7">
        <v>80.185563413300002</v>
      </c>
      <c r="M8" s="7">
        <v>92.055924504899991</v>
      </c>
      <c r="N8" s="7">
        <v>104.03961364679999</v>
      </c>
      <c r="O8" s="7">
        <v>116.93694751279999</v>
      </c>
      <c r="P8" s="7">
        <v>134.08157600729999</v>
      </c>
      <c r="Q8" s="7">
        <v>151.91720473769996</v>
      </c>
      <c r="R8" s="7">
        <v>169.56829929769998</v>
      </c>
      <c r="S8" s="7">
        <v>186.78914842779997</v>
      </c>
      <c r="T8" s="7">
        <v>206.97357621839998</v>
      </c>
      <c r="U8" s="7">
        <v>225.77901224649997</v>
      </c>
      <c r="W8" s="3">
        <v>40253.333333333336</v>
      </c>
      <c r="X8" s="4">
        <v>40253.333333333336</v>
      </c>
      <c r="Y8" s="5">
        <v>40253.333333333336</v>
      </c>
      <c r="Z8" s="6">
        <f t="shared" si="1"/>
        <v>3200.0000000000582</v>
      </c>
      <c r="AA8" s="6">
        <v>0</v>
      </c>
      <c r="AB8" s="6">
        <v>-1.2034837199990989E-2</v>
      </c>
      <c r="AC8" s="6">
        <v>-1.0029030999984201E-2</v>
      </c>
      <c r="AD8" s="6">
        <v>1.002903100008723E-3</v>
      </c>
      <c r="AE8" s="6">
        <v>-3.008709300011958E-3</v>
      </c>
      <c r="AF8" s="6">
        <v>-6.0174186000381269E-3</v>
      </c>
      <c r="AG8" s="6">
        <v>-1.0029030999731958E-3</v>
      </c>
      <c r="AH8" s="6">
        <v>-7.0203216999544793E-3</v>
      </c>
      <c r="AI8" s="6">
        <v>-8.0232247999703077E-3</v>
      </c>
      <c r="AJ8" s="6">
        <v>-8.0232248000129402E-3</v>
      </c>
      <c r="AK8" s="6">
        <v>-7.0203217000255336E-3</v>
      </c>
      <c r="AL8" s="6">
        <v>-4.0116123999780484E-3</v>
      </c>
      <c r="AM8" s="6">
        <v>-8.0232247999845185E-3</v>
      </c>
      <c r="AN8" s="6">
        <v>-8.0232247999276751E-3</v>
      </c>
      <c r="AO8" s="6">
        <v>-9.0261279000287686E-3</v>
      </c>
      <c r="AP8" s="6">
        <v>-1.0029031000158284E-3</v>
      </c>
      <c r="AQ8" s="6">
        <v>0</v>
      </c>
    </row>
    <row r="9" spans="1:43" x14ac:dyDescent="0.25">
      <c r="A9" s="3">
        <v>40260.365277777775</v>
      </c>
      <c r="B9" s="4">
        <v>40260.365277777775</v>
      </c>
      <c r="C9" s="5">
        <v>40260.365277777775</v>
      </c>
      <c r="D9" s="6">
        <f t="shared" si="0"/>
        <v>3368.7666666666046</v>
      </c>
      <c r="E9" s="6">
        <v>1881.9583333337214</v>
      </c>
      <c r="F9" s="7">
        <v>9.1911139294000002</v>
      </c>
      <c r="G9" s="7">
        <v>20.455663486599999</v>
      </c>
      <c r="H9" s="7">
        <v>32.2828997449</v>
      </c>
      <c r="I9" s="7">
        <v>44.491239181200001</v>
      </c>
      <c r="J9" s="7">
        <v>56.166034168300001</v>
      </c>
      <c r="K9" s="7">
        <v>68.540855519199994</v>
      </c>
      <c r="L9" s="7">
        <v>80.203615669100003</v>
      </c>
      <c r="M9" s="7">
        <v>92.050909989399997</v>
      </c>
      <c r="N9" s="7">
        <v>104.0335962282</v>
      </c>
      <c r="O9" s="7">
        <v>116.93293590039998</v>
      </c>
      <c r="P9" s="7">
        <v>134.07455568559996</v>
      </c>
      <c r="Q9" s="7">
        <v>151.91319312529998</v>
      </c>
      <c r="R9" s="7">
        <v>169.56127897599998</v>
      </c>
      <c r="S9" s="7">
        <v>186.78212810609998</v>
      </c>
      <c r="T9" s="7">
        <v>206.96154138119999</v>
      </c>
      <c r="U9" s="7">
        <v>225.77199192479998</v>
      </c>
      <c r="W9" s="3">
        <v>40260.365277777775</v>
      </c>
      <c r="X9" s="4">
        <v>40260.365277777775</v>
      </c>
      <c r="Y9" s="5">
        <v>40260.365277777775</v>
      </c>
      <c r="Z9" s="6">
        <f t="shared" si="1"/>
        <v>3368.7666666666046</v>
      </c>
      <c r="AA9" s="6">
        <v>7.0203216999971119E-3</v>
      </c>
      <c r="AB9" s="6">
        <v>5.0725774999875739E-3</v>
      </c>
      <c r="AC9" s="6">
        <v>-9.0261278999967942E-3</v>
      </c>
      <c r="AD9" s="6">
        <v>5.0145155000151931E-3</v>
      </c>
      <c r="AE9" s="6">
        <v>1.0029030999945121E-3</v>
      </c>
      <c r="AF9" s="6">
        <v>-2.0058061999748134E-3</v>
      </c>
      <c r="AG9" s="6">
        <v>6.017418600023916E-3</v>
      </c>
      <c r="AH9" s="6">
        <v>1.8052255800043326E-2</v>
      </c>
      <c r="AI9" s="6">
        <v>-6.0174185999954943E-3</v>
      </c>
      <c r="AJ9" s="6">
        <v>-7.0203216999971119E-3</v>
      </c>
      <c r="AK9" s="6">
        <v>-4.0116123999780484E-3</v>
      </c>
      <c r="AL9" s="6">
        <v>-4.0116123999780484E-3</v>
      </c>
      <c r="AM9" s="6">
        <v>-5.0145155000507202E-3</v>
      </c>
      <c r="AN9" s="6">
        <v>-8.0232247999276751E-3</v>
      </c>
      <c r="AO9" s="6">
        <v>-9.0261279000287686E-3</v>
      </c>
      <c r="AP9" s="6">
        <v>-6.0174185999812835E-3</v>
      </c>
      <c r="AQ9" s="6">
        <v>0</v>
      </c>
    </row>
    <row r="10" spans="1:43" x14ac:dyDescent="0.25">
      <c r="A10" s="3">
        <v>40267.464583333334</v>
      </c>
      <c r="B10" s="4">
        <v>40267.464583333334</v>
      </c>
      <c r="C10" s="5">
        <v>40267.464583333334</v>
      </c>
      <c r="D10" s="6">
        <f t="shared" si="0"/>
        <v>3539.1500000000233</v>
      </c>
      <c r="E10" s="6">
        <v>1717</v>
      </c>
      <c r="F10" s="7">
        <v>9.1810268364000009</v>
      </c>
      <c r="G10" s="7">
        <v>20.480736064099997</v>
      </c>
      <c r="H10" s="7">
        <v>32.270020341500008</v>
      </c>
      <c r="I10" s="7">
        <v>44.486673312600004</v>
      </c>
      <c r="J10" s="7">
        <v>56.1654508811</v>
      </c>
      <c r="K10" s="7">
        <v>68.560913581199998</v>
      </c>
      <c r="L10" s="7">
        <v>80.233702762100009</v>
      </c>
      <c r="M10" s="7">
        <v>92.077988373099984</v>
      </c>
      <c r="N10" s="7">
        <v>104.0887558987</v>
      </c>
      <c r="O10" s="7">
        <v>116.9429649314</v>
      </c>
      <c r="P10" s="7">
        <v>134.09253403029999</v>
      </c>
      <c r="Q10" s="7">
        <v>151.9212163501</v>
      </c>
      <c r="R10" s="7">
        <v>169.56674213839997</v>
      </c>
      <c r="S10" s="7">
        <v>186.80720068359997</v>
      </c>
      <c r="T10" s="7">
        <v>206.99207712109998</v>
      </c>
      <c r="U10" s="7">
        <v>225.76885124239996</v>
      </c>
      <c r="W10" s="3">
        <v>40267.464583333334</v>
      </c>
      <c r="X10" s="4">
        <v>40267.464583333334</v>
      </c>
      <c r="Y10" s="5">
        <v>40267.464583333334</v>
      </c>
      <c r="Z10" s="6">
        <f t="shared" si="1"/>
        <v>3539.1500000000233</v>
      </c>
      <c r="AA10" s="6">
        <v>1.016100410001286E-2</v>
      </c>
      <c r="AB10" s="6">
        <v>-1.8738330999781283E-3</v>
      </c>
      <c r="AC10" s="6">
        <v>1.918713200001676E-2</v>
      </c>
      <c r="AD10" s="6">
        <v>-4.7242054999756533E-3</v>
      </c>
      <c r="AE10" s="6">
        <v>-4.2228309995806512E-4</v>
      </c>
      <c r="AF10" s="6">
        <v>5.5158900002538758E-4</v>
      </c>
      <c r="AG10" s="6">
        <v>2.9216163000015172E-2</v>
      </c>
      <c r="AH10" s="6">
        <v>5.1280031200022336E-2</v>
      </c>
      <c r="AI10" s="6">
        <v>2.4201647499992873E-2</v>
      </c>
      <c r="AJ10" s="6">
        <v>5.1280031200036547E-2</v>
      </c>
      <c r="AK10" s="6">
        <v>9.1581009999686103E-3</v>
      </c>
      <c r="AL10" s="6">
        <v>1.7107414700092249E-2</v>
      </c>
      <c r="AM10" s="6">
        <v>6.1493916999779685E-3</v>
      </c>
      <c r="AN10" s="6">
        <v>5.8061999999381442E-4</v>
      </c>
      <c r="AO10" s="6">
        <v>1.9187132000041629E-2</v>
      </c>
      <c r="AP10" s="6">
        <v>2.7659003699994855E-2</v>
      </c>
      <c r="AQ10" s="6">
        <v>0</v>
      </c>
    </row>
    <row r="11" spans="1:43" x14ac:dyDescent="0.25">
      <c r="A11" s="3">
        <v>40275.460416666669</v>
      </c>
      <c r="B11" s="4">
        <v>40275.460416666669</v>
      </c>
      <c r="C11" s="5">
        <v>40275.460416666669</v>
      </c>
      <c r="D11" s="6">
        <f t="shared" si="0"/>
        <v>3731.0500000000466</v>
      </c>
      <c r="E11" s="6">
        <v>1509</v>
      </c>
      <c r="F11" s="7">
        <v>9.1689919991999993</v>
      </c>
      <c r="G11" s="7">
        <v>20.465692517599997</v>
      </c>
      <c r="H11" s="7">
        <v>32.2828997449</v>
      </c>
      <c r="I11" s="7">
        <v>44.499262406</v>
      </c>
      <c r="J11" s="7">
        <v>56.169042877599999</v>
      </c>
      <c r="K11" s="7">
        <v>68.533835197499997</v>
      </c>
      <c r="L11" s="7">
        <v>80.202612766000001</v>
      </c>
      <c r="M11" s="7">
        <v>92.0699651483</v>
      </c>
      <c r="N11" s="7">
        <v>104.0546571933</v>
      </c>
      <c r="O11" s="7">
        <v>116.959011381</v>
      </c>
      <c r="P11" s="7">
        <v>134.0895992321</v>
      </c>
      <c r="Q11" s="7">
        <v>151.91820764079998</v>
      </c>
      <c r="R11" s="7">
        <v>169.57632252249996</v>
      </c>
      <c r="S11" s="7">
        <v>186.79215713709996</v>
      </c>
      <c r="T11" s="7">
        <v>206.97758783079996</v>
      </c>
      <c r="U11" s="7">
        <v>225.78904127749999</v>
      </c>
      <c r="W11" s="3">
        <v>40275.460416666669</v>
      </c>
      <c r="X11" s="4">
        <v>40275.460416666669</v>
      </c>
      <c r="Y11" s="5">
        <v>40275.460416666669</v>
      </c>
      <c r="Z11" s="6">
        <f t="shared" si="1"/>
        <v>3731.0500000000466</v>
      </c>
      <c r="AA11" s="6">
        <v>-1.0029031000016175E-2</v>
      </c>
      <c r="AB11" s="6">
        <v>-3.4098705400026574E-2</v>
      </c>
      <c r="AC11" s="6">
        <v>-1.6046449600022328E-2</v>
      </c>
      <c r="AD11" s="6">
        <v>-1.2034837199998094E-2</v>
      </c>
      <c r="AE11" s="6">
        <v>-8.0232248000058348E-3</v>
      </c>
      <c r="AF11" s="6">
        <v>-1.6046449600054302E-2</v>
      </c>
      <c r="AG11" s="6">
        <v>-1.8052255799986483E-2</v>
      </c>
      <c r="AH11" s="6">
        <v>0</v>
      </c>
      <c r="AI11" s="6">
        <v>-4.0116123999922593E-3</v>
      </c>
      <c r="AJ11" s="6">
        <v>-3.0087093000190634E-3</v>
      </c>
      <c r="AK11" s="6">
        <v>5.0145154999654551E-3</v>
      </c>
      <c r="AL11" s="6">
        <v>-6.0174185999812835E-3</v>
      </c>
      <c r="AM11" s="6">
        <v>-1.7049352699984865E-2</v>
      </c>
      <c r="AN11" s="6">
        <v>-1.0029031000044597E-2</v>
      </c>
      <c r="AO11" s="6">
        <v>-1.6046449599997459E-2</v>
      </c>
      <c r="AP11" s="6">
        <v>-7.0203217000255336E-3</v>
      </c>
      <c r="AQ11" s="6">
        <v>0</v>
      </c>
    </row>
    <row r="12" spans="1:43" x14ac:dyDescent="0.25">
      <c r="A12" s="3">
        <v>40282.538194444445</v>
      </c>
      <c r="B12" s="4">
        <v>40282.538194444445</v>
      </c>
      <c r="C12" s="5">
        <v>40282.538194444445</v>
      </c>
      <c r="D12" s="6">
        <f t="shared" si="0"/>
        <v>3900.9166666666861</v>
      </c>
      <c r="E12" s="6">
        <v>1283</v>
      </c>
      <c r="F12" s="7">
        <v>9.1720007085000006</v>
      </c>
      <c r="G12" s="7">
        <v>20.475721548599999</v>
      </c>
      <c r="H12" s="7">
        <v>32.284905551100003</v>
      </c>
      <c r="I12" s="7">
        <v>44.499262406</v>
      </c>
      <c r="J12" s="7">
        <v>56.168459590399998</v>
      </c>
      <c r="K12" s="7">
        <v>68.553893259500001</v>
      </c>
      <c r="L12" s="7">
        <v>80.201609862899986</v>
      </c>
      <c r="M12" s="7">
        <v>92.046344120800001</v>
      </c>
      <c r="N12" s="7">
        <v>104.0596717088</v>
      </c>
      <c r="O12" s="7">
        <v>116.95499976859999</v>
      </c>
      <c r="P12" s="7">
        <v>134.09461374759999</v>
      </c>
      <c r="Q12" s="7">
        <v>151.92221925319998</v>
      </c>
      <c r="R12" s="7">
        <v>169.53665504539998</v>
      </c>
      <c r="S12" s="7">
        <v>186.80834874169994</v>
      </c>
      <c r="T12" s="7">
        <v>206.97457912149997</v>
      </c>
      <c r="U12" s="7">
        <v>225.73675834319997</v>
      </c>
      <c r="W12" s="3">
        <v>40282.538194444445</v>
      </c>
      <c r="X12" s="4">
        <v>40282.538194444445</v>
      </c>
      <c r="Y12" s="5">
        <v>40282.538194444445</v>
      </c>
      <c r="Z12" s="6">
        <f t="shared" si="1"/>
        <v>3900.9166666666861</v>
      </c>
      <c r="AA12" s="6">
        <v>4.2253903300007778E-2</v>
      </c>
      <c r="AB12" s="6">
        <v>2.1192938200016442E-2</v>
      </c>
      <c r="AC12" s="6">
        <v>4.6265515700017801E-2</v>
      </c>
      <c r="AD12" s="6">
        <v>4.2253903300000673E-2</v>
      </c>
      <c r="AE12" s="6">
        <v>4.4259709500018118E-2</v>
      </c>
      <c r="AF12" s="6">
        <v>3.5653197500010947E-2</v>
      </c>
      <c r="AG12" s="6">
        <v>5.4288740500012977E-2</v>
      </c>
      <c r="AH12" s="6">
        <v>5.1280031200022336E-2</v>
      </c>
      <c r="AI12" s="6">
        <v>2.4650294400046846E-2</v>
      </c>
      <c r="AJ12" s="6">
        <v>5.4288740500027188E-2</v>
      </c>
      <c r="AK12" s="6">
        <v>5.3285837400039782E-2</v>
      </c>
      <c r="AL12" s="6">
        <v>5.1280031200008125E-2</v>
      </c>
      <c r="AM12" s="6">
        <v>3.9245193999988714E-2</v>
      </c>
      <c r="AN12" s="6">
        <v>2.5864262000823146E-3</v>
      </c>
      <c r="AO12" s="6">
        <v>5.2428089299979774E-2</v>
      </c>
      <c r="AP12" s="6">
        <v>4.2253903300007778E-2</v>
      </c>
      <c r="AQ12" s="6">
        <v>0</v>
      </c>
    </row>
    <row r="13" spans="1:43" x14ac:dyDescent="0.25">
      <c r="A13" s="3">
        <v>40287.311111111114</v>
      </c>
      <c r="B13" s="4">
        <v>40287.311111111114</v>
      </c>
      <c r="C13" s="5">
        <v>40287.311111111114</v>
      </c>
      <c r="D13" s="6">
        <f t="shared" si="0"/>
        <v>4015.4666666667326</v>
      </c>
      <c r="E13" s="6">
        <v>1129</v>
      </c>
      <c r="F13" s="7">
        <v>9.1609687743999988</v>
      </c>
      <c r="G13" s="7">
        <v>20.445634455599997</v>
      </c>
      <c r="H13" s="7">
        <v>32.2698620046</v>
      </c>
      <c r="I13" s="7">
        <v>44.469175312999994</v>
      </c>
      <c r="J13" s="7">
        <v>56.152996428000002</v>
      </c>
      <c r="K13" s="7">
        <v>68.527817778899987</v>
      </c>
      <c r="L13" s="7">
        <v>80.177540188499989</v>
      </c>
      <c r="M13" s="7">
        <v>92.0438896677</v>
      </c>
      <c r="N13" s="7">
        <v>104.041619453</v>
      </c>
      <c r="O13" s="7">
        <v>116.9349417066</v>
      </c>
      <c r="P13" s="7">
        <v>134.07455568559996</v>
      </c>
      <c r="Q13" s="7">
        <v>151.90516990049997</v>
      </c>
      <c r="R13" s="7">
        <v>169.56529058839999</v>
      </c>
      <c r="S13" s="7">
        <v>186.77711359059998</v>
      </c>
      <c r="T13" s="7">
        <v>206.96455009049998</v>
      </c>
      <c r="U13" s="7">
        <v>225.76998611859997</v>
      </c>
      <c r="W13" s="3">
        <v>40287.311111111114</v>
      </c>
      <c r="X13" s="4">
        <v>40287.311111111114</v>
      </c>
      <c r="Y13" s="5">
        <v>40287.311111111114</v>
      </c>
      <c r="Z13" s="6">
        <f t="shared" si="1"/>
        <v>4015.4666666667326</v>
      </c>
      <c r="AA13" s="6">
        <v>9.0261279000003469E-3</v>
      </c>
      <c r="AB13" s="6">
        <v>-2.3066771299994571E-2</v>
      </c>
      <c r="AC13" s="6">
        <v>-1.7049352700009734E-2</v>
      </c>
      <c r="AD13" s="6">
        <v>-6.0174186000168106E-3</v>
      </c>
      <c r="AE13" s="6">
        <v>-1.9055158900009417E-2</v>
      </c>
      <c r="AF13" s="6">
        <v>-1.3037740300006817E-2</v>
      </c>
      <c r="AG13" s="6">
        <v>-5.0145155000080877E-3</v>
      </c>
      <c r="AH13" s="6">
        <v>-6.0174185999670726E-3</v>
      </c>
      <c r="AI13" s="6">
        <v>-1.1031934099989371E-2</v>
      </c>
      <c r="AJ13" s="6">
        <v>3.0087093000190634E-3</v>
      </c>
      <c r="AK13" s="6">
        <v>0</v>
      </c>
      <c r="AL13" s="6">
        <v>-2.0058061999748134E-3</v>
      </c>
      <c r="AM13" s="6">
        <v>-1.1031934100060425E-2</v>
      </c>
      <c r="AN13" s="6">
        <v>-2.0058061999748134E-3</v>
      </c>
      <c r="AO13" s="6">
        <v>-1.2034837199990989E-2</v>
      </c>
      <c r="AP13" s="6">
        <v>-1.0029030999874067E-3</v>
      </c>
      <c r="AQ13" s="6">
        <v>0</v>
      </c>
    </row>
    <row r="14" spans="1:43" x14ac:dyDescent="0.25">
      <c r="A14" s="3">
        <v>40288.345138888886</v>
      </c>
      <c r="B14" s="4">
        <v>40288.345138888886</v>
      </c>
      <c r="C14" s="5">
        <v>40288.345138888886</v>
      </c>
      <c r="D14" s="6">
        <f t="shared" si="0"/>
        <v>4040.2833333332674</v>
      </c>
      <c r="E14" s="6">
        <v>1111</v>
      </c>
      <c r="F14" s="7">
        <v>9.1381923131000011</v>
      </c>
      <c r="G14" s="7">
        <v>20.469704129999997</v>
      </c>
      <c r="H14" s="7">
        <v>32.287914260400001</v>
      </c>
      <c r="I14" s="7">
        <v>44.490236278099999</v>
      </c>
      <c r="J14" s="7">
        <v>56.156005137299999</v>
      </c>
      <c r="K14" s="7">
        <v>68.528820682000003</v>
      </c>
      <c r="L14" s="7">
        <v>80.189575025699995</v>
      </c>
      <c r="M14" s="7">
        <v>92.056927408000007</v>
      </c>
      <c r="N14" s="7">
        <v>104.0556600964</v>
      </c>
      <c r="O14" s="7">
        <v>116.93148168319999</v>
      </c>
      <c r="P14" s="7">
        <v>134.09060213519999</v>
      </c>
      <c r="Q14" s="7">
        <v>151.92221925319998</v>
      </c>
      <c r="R14" s="7">
        <v>169.56829929769998</v>
      </c>
      <c r="S14" s="7">
        <v>186.79817455569997</v>
      </c>
      <c r="T14" s="7">
        <v>206.97457912149997</v>
      </c>
      <c r="U14" s="7">
        <v>225.79706450229997</v>
      </c>
      <c r="W14" s="3">
        <v>40288.345138888886</v>
      </c>
      <c r="X14" s="4">
        <v>40288.345138888886</v>
      </c>
      <c r="Y14" s="5">
        <v>40288.345138888886</v>
      </c>
      <c r="Z14" s="6">
        <f t="shared" si="1"/>
        <v>4040.2833333332674</v>
      </c>
      <c r="AA14" s="6">
        <v>-1.8052255800000694E-2</v>
      </c>
      <c r="AB14" s="6">
        <v>-7.2921616299993275E-2</v>
      </c>
      <c r="AC14" s="6">
        <v>-2.0058062000000376E-2</v>
      </c>
      <c r="AD14" s="6">
        <v>-1.5043546500017158E-2</v>
      </c>
      <c r="AE14" s="6">
        <v>-2.5072577500019122E-2</v>
      </c>
      <c r="AF14" s="6">
        <v>-3.7107414700017216E-2</v>
      </c>
      <c r="AG14" s="6">
        <v>-3.10899960999933E-2</v>
      </c>
      <c r="AH14" s="6">
        <v>-2.1060965100005546E-2</v>
      </c>
      <c r="AI14" s="6">
        <v>-2.5072577499955173E-2</v>
      </c>
      <c r="AJ14" s="6">
        <v>-1.0029030999987754E-2</v>
      </c>
      <c r="AK14" s="6">
        <v>-3.0538407100010545E-2</v>
      </c>
      <c r="AL14" s="6">
        <v>-1.3037740299949974E-2</v>
      </c>
      <c r="AM14" s="6">
        <v>-2.1060965100019757E-2</v>
      </c>
      <c r="AN14" s="6">
        <v>-2.6075480599928369E-2</v>
      </c>
      <c r="AO14" s="6">
        <v>-1.8052255800000694E-2</v>
      </c>
      <c r="AP14" s="6">
        <v>-1.8052255800000694E-2</v>
      </c>
      <c r="AQ14" s="6">
        <v>0</v>
      </c>
    </row>
    <row r="15" spans="1:43" x14ac:dyDescent="0.25">
      <c r="A15" s="3">
        <v>40289.324999999997</v>
      </c>
      <c r="B15" s="4">
        <v>40289.324999999997</v>
      </c>
      <c r="C15" s="5">
        <v>40289.324999999997</v>
      </c>
      <c r="D15" s="6">
        <f t="shared" si="0"/>
        <v>4063.7999999999302</v>
      </c>
      <c r="E15" s="6">
        <v>1082</v>
      </c>
      <c r="F15" s="7">
        <v>9.135896196900001</v>
      </c>
      <c r="G15" s="7">
        <v>20.460678002099996</v>
      </c>
      <c r="H15" s="7">
        <v>32.240223558499999</v>
      </c>
      <c r="I15" s="7">
        <v>44.476195634699998</v>
      </c>
      <c r="J15" s="7">
        <v>56.157008040400001</v>
      </c>
      <c r="K15" s="7">
        <v>68.528820682000003</v>
      </c>
      <c r="L15" s="7">
        <v>80.189575025699995</v>
      </c>
      <c r="M15" s="7">
        <v>92.045895473899989</v>
      </c>
      <c r="N15" s="7">
        <v>104.0649897162</v>
      </c>
      <c r="O15" s="7">
        <v>116.92992719109999</v>
      </c>
      <c r="P15" s="7">
        <v>134.090047879</v>
      </c>
      <c r="Q15" s="7">
        <v>151.92495083439997</v>
      </c>
      <c r="R15" s="7">
        <v>169.54568117329998</v>
      </c>
      <c r="S15" s="7">
        <v>186.79452449719997</v>
      </c>
      <c r="T15" s="7">
        <v>206.94995519089997</v>
      </c>
      <c r="U15" s="7">
        <v>225.76040573449998</v>
      </c>
      <c r="W15" s="3">
        <v>40289.324999999997</v>
      </c>
      <c r="X15" s="4">
        <v>40289.324999999997</v>
      </c>
      <c r="Y15" s="5">
        <v>40289.324999999997</v>
      </c>
      <c r="Z15" s="6">
        <f t="shared" si="1"/>
        <v>4063.7999999999302</v>
      </c>
      <c r="AA15" s="6">
        <v>1.8606511999990971E-2</v>
      </c>
      <c r="AB15" s="6">
        <v>-3.8558964700001752E-2</v>
      </c>
      <c r="AC15" s="6">
        <v>7.5745778999909419E-3</v>
      </c>
      <c r="AD15" s="6">
        <v>-2.6075480599992318E-2</v>
      </c>
      <c r="AE15" s="6">
        <v>-2.4544531000216807E-3</v>
      </c>
      <c r="AF15" s="6">
        <v>5.5425619999027731E-4</v>
      </c>
      <c r="AG15" s="6">
        <v>5.568771699998365E-3</v>
      </c>
      <c r="AH15" s="6">
        <v>1.5597802699986119E-2</v>
      </c>
      <c r="AI15" s="6">
        <v>5.5425619997606645E-4</v>
      </c>
      <c r="AJ15" s="6">
        <v>3.5959356599988723E-2</v>
      </c>
      <c r="AK15" s="6">
        <v>4.5658685999683257E-3</v>
      </c>
      <c r="AL15" s="6">
        <v>2.3066771300079836E-2</v>
      </c>
      <c r="AM15" s="6">
        <v>1.8329383899981622E-2</v>
      </c>
      <c r="AN15" s="6">
        <v>-1.203483720001941E-2</v>
      </c>
      <c r="AO15" s="6">
        <v>1.4956453499991085E-2</v>
      </c>
      <c r="AP15" s="6">
        <v>-6.0174186000097052E-3</v>
      </c>
      <c r="AQ15" s="6">
        <v>0</v>
      </c>
    </row>
    <row r="16" spans="1:43" x14ac:dyDescent="0.25">
      <c r="A16" s="3">
        <v>40290.305555555555</v>
      </c>
      <c r="B16" s="4">
        <v>40290.305555555555</v>
      </c>
      <c r="C16" s="5">
        <v>40290.305555555555</v>
      </c>
      <c r="D16" s="6">
        <f t="shared" si="0"/>
        <v>4087.3333333333139</v>
      </c>
      <c r="E16" s="6">
        <v>1050</v>
      </c>
      <c r="F16" s="7">
        <v>9.1489339372000007</v>
      </c>
      <c r="G16" s="7">
        <v>20.433599618399995</v>
      </c>
      <c r="H16" s="7">
        <v>32.2518097488</v>
      </c>
      <c r="I16" s="7">
        <v>44.466166603699996</v>
      </c>
      <c r="J16" s="7">
        <v>56.139958687699995</v>
      </c>
      <c r="K16" s="7">
        <v>68.516785844799998</v>
      </c>
      <c r="L16" s="7">
        <v>80.171522769899994</v>
      </c>
      <c r="M16" s="7">
        <v>92.033860636699998</v>
      </c>
      <c r="N16" s="7">
        <v>104.02256429409999</v>
      </c>
      <c r="O16" s="7">
        <v>116.9198981601</v>
      </c>
      <c r="P16" s="7">
        <v>134.06252084839997</v>
      </c>
      <c r="Q16" s="7">
        <v>151.90115828809996</v>
      </c>
      <c r="R16" s="7">
        <v>169.55526155739997</v>
      </c>
      <c r="S16" s="7">
        <v>186.77109617199997</v>
      </c>
      <c r="T16" s="7">
        <v>206.95552396259998</v>
      </c>
      <c r="U16" s="7">
        <v>225.76798031239997</v>
      </c>
      <c r="W16" s="3">
        <v>40290.305555555555</v>
      </c>
      <c r="X16" s="4">
        <v>40290.305555555555</v>
      </c>
      <c r="Y16" s="5">
        <v>40290.305555555555</v>
      </c>
      <c r="Z16" s="6">
        <f t="shared" si="1"/>
        <v>4087.3333333333139</v>
      </c>
      <c r="AA16" s="6">
        <v>1.1031934100003582E-2</v>
      </c>
      <c r="AB16" s="6">
        <v>-3.3095802299982324E-2</v>
      </c>
      <c r="AC16" s="6">
        <v>-2.7078383699997488E-2</v>
      </c>
      <c r="AD16" s="6">
        <v>-2.2063868200014269E-2</v>
      </c>
      <c r="AE16" s="6">
        <v>-2.0058061999996823E-2</v>
      </c>
      <c r="AF16" s="6">
        <v>-2.4069674400038821E-2</v>
      </c>
      <c r="AG16" s="6">
        <v>-1.4040643400008435E-2</v>
      </c>
      <c r="AH16" s="6">
        <v>-1.0029031000001964E-2</v>
      </c>
      <c r="AI16" s="6">
        <v>-1.905515889997389E-2</v>
      </c>
      <c r="AJ16" s="6">
        <v>-1.4040643399994224E-2</v>
      </c>
      <c r="AK16" s="6">
        <v>-1.3037740299949974E-2</v>
      </c>
      <c r="AL16" s="6">
        <v>-1.2034837199934145E-2</v>
      </c>
      <c r="AM16" s="6">
        <v>-1.3037740300006817E-2</v>
      </c>
      <c r="AN16" s="6">
        <v>-1.0029031000016175E-2</v>
      </c>
      <c r="AO16" s="6">
        <v>-1.6046449599969037E-2</v>
      </c>
      <c r="AP16" s="6">
        <v>-8.0232247999560968E-3</v>
      </c>
      <c r="AQ16" s="6">
        <v>0</v>
      </c>
    </row>
    <row r="17" spans="1:43" x14ac:dyDescent="0.25">
      <c r="A17" s="3">
        <v>40291.280555555553</v>
      </c>
      <c r="B17" s="4">
        <v>40291.280555555553</v>
      </c>
      <c r="C17" s="5">
        <v>40291.280555555553</v>
      </c>
      <c r="D17" s="6">
        <f t="shared" si="0"/>
        <v>4110.733333333279</v>
      </c>
      <c r="E17" s="6">
        <v>1023</v>
      </c>
      <c r="F17" s="7">
        <v>9.1439194216999997</v>
      </c>
      <c r="G17" s="7">
        <v>20.504805738499996</v>
      </c>
      <c r="H17" s="7">
        <v>32.251197430600008</v>
      </c>
      <c r="I17" s="7">
        <v>44.455554285499993</v>
      </c>
      <c r="J17" s="7">
        <v>56.144360885000005</v>
      </c>
      <c r="K17" s="7">
        <v>68.500739395199986</v>
      </c>
      <c r="L17" s="7">
        <v>80.167901742399991</v>
      </c>
      <c r="M17" s="7">
        <v>92.042886764599999</v>
      </c>
      <c r="N17" s="7">
        <v>104.0259635883</v>
      </c>
      <c r="O17" s="7">
        <v>116.92129164809998</v>
      </c>
      <c r="P17" s="7">
        <v>134.06452665459997</v>
      </c>
      <c r="Q17" s="7">
        <v>151.90656338849999</v>
      </c>
      <c r="R17" s="7">
        <v>169.55124994499997</v>
      </c>
      <c r="S17" s="7">
        <v>186.77750417549998</v>
      </c>
      <c r="T17" s="7">
        <v>206.94351548919997</v>
      </c>
      <c r="U17" s="7">
        <v>225.76636509109997</v>
      </c>
      <c r="W17" s="3">
        <v>40291.280555555553</v>
      </c>
      <c r="X17" s="4">
        <v>40291.280555555553</v>
      </c>
      <c r="Y17" s="5">
        <v>40291.280555555553</v>
      </c>
      <c r="Z17" s="6">
        <f t="shared" si="1"/>
        <v>4110.733333333279</v>
      </c>
      <c r="AA17" s="6">
        <v>1.2647155400003385E-2</v>
      </c>
      <c r="AB17" s="6">
        <v>-3.649509650000482E-2</v>
      </c>
      <c r="AC17" s="6">
        <v>4.5742957700017683E-2</v>
      </c>
      <c r="AD17" s="6">
        <v>-2.1060965099970019E-2</v>
      </c>
      <c r="AE17" s="6">
        <v>-2.9055158900000322E-2</v>
      </c>
      <c r="AF17" s="6">
        <v>-1.8052255800029116E-2</v>
      </c>
      <c r="AG17" s="6">
        <v>-2.8471871699977669E-2</v>
      </c>
      <c r="AH17" s="6">
        <v>-1.20348372000052E-2</v>
      </c>
      <c r="AI17" s="6">
        <v>-8.4138097000021617E-3</v>
      </c>
      <c r="AJ17" s="6">
        <v>-9.0261279000003469E-3</v>
      </c>
      <c r="AK17" s="6">
        <v>-1.0029030999987754E-2</v>
      </c>
      <c r="AL17" s="6">
        <v>-8.4138097000163725E-3</v>
      </c>
      <c r="AM17" s="6">
        <v>-6.0174185999812835E-3</v>
      </c>
      <c r="AN17" s="6">
        <v>-1.2425422099965999E-2</v>
      </c>
      <c r="AO17" s="6">
        <v>-8.0232247999845185E-3</v>
      </c>
      <c r="AP17" s="6">
        <v>-1.8416476900000589E-2</v>
      </c>
      <c r="AQ17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2014-04-03T20:19:15Z</dcterms:created>
  <dcterms:modified xsi:type="dcterms:W3CDTF">2014-04-03T20:24:41Z</dcterms:modified>
</cp:coreProperties>
</file>